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0E68277C-B25A-4D38-8873-4FF62360CE24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Read Me" sheetId="19" r:id="rId1"/>
    <sheet name="Input" sheetId="5" r:id="rId2"/>
    <sheet name="Results" sheetId="9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9" l="1"/>
  <c r="K12" i="5"/>
  <c r="J12" i="5"/>
  <c r="K11" i="5"/>
  <c r="J11" i="5"/>
  <c r="J10" i="5"/>
  <c r="T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6" authorId="0" shapeId="0" xr:uid="{C9DE1803-472A-4064-BD78-D6D1C5EC951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1."Add Node" button 
or
2.define no else where no nodes</t>
        </r>
      </text>
    </comment>
    <comment ref="L7" authorId="0" shapeId="0" xr:uid="{F36C6616-80B2-4830-988B-65FBDB8FA4F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Don’t fille data to keep constain Off</t>
        </r>
      </text>
    </comment>
  </commentList>
</comments>
</file>

<file path=xl/sharedStrings.xml><?xml version="1.0" encoding="utf-8"?>
<sst xmlns="http://schemas.openxmlformats.org/spreadsheetml/2006/main" count="129" uniqueCount="79">
  <si>
    <t xml:space="preserve">Name </t>
  </si>
  <si>
    <t>My Frame</t>
  </si>
  <si>
    <t>No Of Nodes</t>
  </si>
  <si>
    <t>N1</t>
  </si>
  <si>
    <t>N2</t>
  </si>
  <si>
    <t>Nodes</t>
  </si>
  <si>
    <t>Member</t>
  </si>
  <si>
    <t>X</t>
  </si>
  <si>
    <t>Y</t>
  </si>
  <si>
    <t>M1</t>
  </si>
  <si>
    <t>M2</t>
  </si>
  <si>
    <t>End 1</t>
  </si>
  <si>
    <t>End 2</t>
  </si>
  <si>
    <t>E</t>
  </si>
  <si>
    <t>I</t>
  </si>
  <si>
    <t>A</t>
  </si>
  <si>
    <t>N3</t>
  </si>
  <si>
    <t>N4</t>
  </si>
  <si>
    <t>N5</t>
  </si>
  <si>
    <t>N6</t>
  </si>
  <si>
    <t>N7</t>
  </si>
  <si>
    <t>M3</t>
  </si>
  <si>
    <t>End 1 Release</t>
  </si>
  <si>
    <t>End 2 Release</t>
  </si>
  <si>
    <t xml:space="preserve">Constrain </t>
  </si>
  <si>
    <t>Tx</t>
  </si>
  <si>
    <t>Ty</t>
  </si>
  <si>
    <t>Rz</t>
  </si>
  <si>
    <t>Loads</t>
  </si>
  <si>
    <t>Fx</t>
  </si>
  <si>
    <t>Fy</t>
  </si>
  <si>
    <t>Mz</t>
  </si>
  <si>
    <t>Load</t>
  </si>
  <si>
    <t>Distance From End1</t>
  </si>
  <si>
    <t>Moment Load</t>
  </si>
  <si>
    <t>Point Load</t>
  </si>
  <si>
    <t>Direction</t>
  </si>
  <si>
    <t>Distributed Load</t>
  </si>
  <si>
    <t>Load at Location 1</t>
  </si>
  <si>
    <t>Load at Location 2</t>
  </si>
  <si>
    <t>Location 1 Dist From End1</t>
  </si>
  <si>
    <t>Location  Dist From End1</t>
  </si>
  <si>
    <t>Fill the data in Yellow Box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</si>
  <si>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</si>
  <si>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</si>
  <si>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</si>
  <si>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</si>
  <si>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</si>
  <si>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</si>
  <si>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</si>
  <si>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</si>
  <si>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</si>
  <si>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</si>
  <si>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</si>
  <si>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</si>
  <si>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</si>
  <si>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</si>
  <si>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</si>
  <si>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</si>
  <si>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True</t>
  </si>
  <si>
    <t>False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</si>
  <si>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</si>
  <si>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</si>
  <si>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</si>
  <si>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</si>
  <si>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</si>
  <si>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</si>
  <si>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</si>
  <si>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</si>
  <si>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</si>
  <si>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</si>
  <si>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</si>
  <si>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MaxAxial</t>
  </si>
  <si>
    <t>MinAxial</t>
  </si>
  <si>
    <t>Keep checking the my Git for updated excel with more features</t>
  </si>
  <si>
    <t>Note:</t>
  </si>
  <si>
    <t>This is addon or supportive for  "xlFrame" Not stand alone truss solver.</t>
  </si>
  <si>
    <t>Import "xlFrame" modules and classs from gitpage @ https://github.com/JWock82/xlFrame</t>
  </si>
  <si>
    <t>For More information related to what and how it works can be found on the same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</si>
</sst>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24"/>
      <color rgb="FF000000"/>
      <name val="Comic Sans MS"/>
      <family val="4"/>
    </font>
    <font>
      <sz val="11"/>
      <color theme="0"/>
      <name val="Comic Sans MS"/>
      <family val="4"/>
    </font>
    <font>
      <sz val="14"/>
      <color theme="0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right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right" vertical="center" wrapText="1"/>
    </xf>
    <xf numFmtId="1" fontId="2" fillId="2" borderId="6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2" fontId="2" fillId="3" borderId="6" xfId="0" applyNumberFormat="1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/>
    </xf>
    <xf numFmtId="0" fontId="0" fillId="2" borderId="0" xfId="0" applyFill="1"/>
    <xf numFmtId="164" fontId="0" fillId="2" borderId="1" xfId="0" applyNumberFormat="1" applyFill="1" applyBorder="1" applyAlignment="1">
      <alignment horizontal="center" vertical="center"/>
    </xf>
    <xf numFmtId="2" fontId="0" fillId="2" borderId="0" xfId="0" applyNumberFormat="1" applyFill="1"/>
    <xf numFmtId="2" fontId="2" fillId="2" borderId="7" xfId="0" applyNumberFormat="1" applyFont="1" applyFill="1" applyBorder="1" applyAlignment="1">
      <alignment horizontal="center" vertical="center" wrapText="1"/>
    </xf>
    <xf numFmtId="2" fontId="2" fillId="2" borderId="8" xfId="0" applyNumberFormat="1" applyFont="1" applyFill="1" applyBorder="1" applyAlignment="1">
      <alignment horizontal="center" vertical="center" wrapText="1"/>
    </xf>
    <xf numFmtId="0" fontId="7" fillId="4" borderId="0" xfId="0" applyFont="1" applyFill="1"/>
    <xf numFmtId="0" fontId="8" fillId="4" borderId="0" xfId="0" applyFont="1" applyFill="1"/>
    <xf numFmtId="0" fontId="2" fillId="2" borderId="9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2" fontId="2" fillId="2" borderId="14" xfId="0" applyNumberFormat="1" applyFont="1" applyFill="1" applyBorder="1" applyAlignment="1">
      <alignment horizontal="center" vertical="center"/>
    </xf>
    <xf numFmtId="2" fontId="2" fillId="2" borderId="15" xfId="0" applyNumberFormat="1" applyFont="1" applyFill="1" applyBorder="1" applyAlignment="1">
      <alignment horizontal="center" vertical="center"/>
    </xf>
    <xf numFmtId="2" fontId="2" fillId="2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17396901262452E-2"/>
          <c:y val="1.4725505236298743E-2"/>
          <c:w val="0.90402090149690206"/>
          <c:h val="0.96572231716471546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72065296"/>
        <c:axId val="1"/>
      </c:scatterChart>
      <c:valAx>
        <c:axId val="5720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30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Input!$J$9:$J$12</c:f>
              <c:numCache>
                <c:formatCode>0.00</c:formatCode>
                <c:ptCount val="4"/>
                <c:pt idx="0">
                  <c:v>0</c:v>
                </c:pt>
                <c:pt idx="1">
                  <c:v>720</c:v>
                </c:pt>
                <c:pt idx="2">
                  <c:v>360</c:v>
                </c:pt>
                <c:pt idx="3">
                  <c:v>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66-417B-992C-3CDA6A8AA6F0}"/>
            </c:ext>
          </c:extLst>
        </c:ser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Input!$K$9:$K$12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480</c:v>
                </c:pt>
                <c:pt idx="3">
                  <c:v>720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66-417B-992C-3CDA6A8AA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087608"/>
        <c:axId val="566088264"/>
      </c:lineChart>
      <c:catAx>
        <c:axId val="566087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88264"/>
        <c:crosses val="autoZero"/>
        <c:auto val="1"/>
        <c:lblAlgn val="ctr"/>
        <c:lblOffset val="100"/>
        <c:noMultiLvlLbl val="0"/>
      </c:catAx>
      <c:valAx>
        <c:axId val="56608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08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3817396901262452E-2"/>
          <c:y val="1.4725505236298743E-2"/>
          <c:w val="0.90402090149690206"/>
          <c:h val="0.96572231716471546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Input!$J$9:$J$10</c:f>
              <c:numCache>
                <c:formatCode>0.00</c:formatCode>
                <c:ptCount val="2"/>
                <c:pt idx="0">
                  <c:v>0</c:v>
                </c:pt>
                <c:pt idx="1">
                  <c:v>720</c:v>
                </c:pt>
              </c:numCache>
            </c:numRef>
          </c:xVal>
          <c:yVal>
            <c:numRef>
              <c:f>Input!$K$9:$K$10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46-4731-AB1D-867D67C1BBC1}"/>
            </c:ext>
          </c:extLst>
        </c:ser>
        <c:ser>
          <c:idx val="1"/>
          <c:order val="1"/>
          <c:tx>
            <c:v>aa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Input!$J$10:$J$11</c:f>
              <c:numCache>
                <c:formatCode>0.00</c:formatCode>
                <c:ptCount val="2"/>
                <c:pt idx="0">
                  <c:v>720</c:v>
                </c:pt>
                <c:pt idx="1">
                  <c:v>360</c:v>
                </c:pt>
              </c:numCache>
            </c:numRef>
          </c:xVal>
          <c:yVal>
            <c:numRef>
              <c:f>Input!$K$10:$K$11</c:f>
              <c:numCache>
                <c:formatCode>0.00</c:formatCode>
                <c:ptCount val="2"/>
                <c:pt idx="0">
                  <c:v>0</c:v>
                </c:pt>
                <c:pt idx="1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46-4731-AB1D-867D67C1BBC1}"/>
            </c:ext>
          </c:extLst>
        </c:ser>
        <c:ser>
          <c:idx val="2"/>
          <c:order val="2"/>
          <c:tx>
            <c:strRef>
              <c:f>Input!$J$11:$J$12</c:f>
              <c:strCache>
                <c:ptCount val="2"/>
                <c:pt idx="0">
                  <c:v>360.00</c:v>
                </c:pt>
                <c:pt idx="1">
                  <c:v>360.00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Input!$J$11:$J$12</c:f>
              <c:numCache>
                <c:formatCode>0.00</c:formatCode>
                <c:ptCount val="2"/>
                <c:pt idx="0">
                  <c:v>360</c:v>
                </c:pt>
                <c:pt idx="1">
                  <c:v>360</c:v>
                </c:pt>
              </c:numCache>
            </c:numRef>
          </c:xVal>
          <c:yVal>
            <c:numRef>
              <c:f>Input!$K$11:$K$12</c:f>
              <c:numCache>
                <c:formatCode>0.00</c:formatCode>
                <c:ptCount val="2"/>
                <c:pt idx="0">
                  <c:v>480</c:v>
                </c:pt>
                <c:pt idx="1">
                  <c:v>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46-4731-AB1D-867D67C1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065296"/>
        <c:axId val="1"/>
      </c:scatterChart>
      <c:valAx>
        <c:axId val="5720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-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0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300" copies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0</xdr:row>
      <xdr:rowOff>180975</xdr:rowOff>
    </xdr:from>
    <xdr:to>
      <xdr:col>21</xdr:col>
      <xdr:colOff>551595</xdr:colOff>
      <xdr:row>4</xdr:row>
      <xdr:rowOff>171349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80975"/>
          <a:ext cx="6838095" cy="809524"/>
        </a:xfrm>
        <a:prstGeom prst="rect">
          <a:avLst/>
        </a:prstGeom>
      </xdr:spPr>
    </xdr:pic>
    <xdr:clientData/>
  </xdr:twoCellAnchor>
  <xdr:twoCellAnchor editAs="oneCell">
    <xdr:from>
      <xdr:col>22</xdr:col>
      <xdr:colOff>295275</xdr:colOff>
      <xdr:row>1</xdr:row>
      <xdr:rowOff>85725</xdr:rowOff>
    </xdr:from>
    <xdr:to>
      <xdr:col>33</xdr:col>
      <xdr:colOff>161075</xdr:colOff>
      <xdr:row>4</xdr:row>
      <xdr:rowOff>180885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44775" y="276225"/>
          <a:ext cx="6800000" cy="723810"/>
        </a:xfrm>
        <a:prstGeom prst="rect">
          <a:avLst/>
        </a:prstGeom>
      </xdr:spPr>
    </xdr:pic>
    <xdr:clientData/>
  </xdr:twoCellAnchor>
  <xdr:twoCellAnchor>
    <xdr:from>
      <xdr:col>0</xdr:col>
      <xdr:colOff>66675</xdr:colOff>
      <xdr:row>6</xdr:row>
      <xdr:rowOff>180975</xdr:rowOff>
    </xdr:from>
    <xdr:to>
      <xdr:col>7</xdr:col>
      <xdr:colOff>171449</xdr:colOff>
      <xdr:row>31</xdr:row>
      <xdr:rowOff>9525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114300</xdr:rowOff>
        </xdr:from>
        <xdr:to>
          <xdr:col>8</xdr:col>
          <xdr:colOff>600075</xdr:colOff>
          <xdr:row>3</xdr:row>
          <xdr:rowOff>133350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000000"/>
                  </a:solidFill>
                  <a:latin typeface="Comic Sans MS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719137</xdr:colOff>
      <xdr:row>94</xdr:row>
      <xdr:rowOff>157162</xdr:rowOff>
    </xdr:from>
    <xdr:to>
      <xdr:col>19</xdr:col>
      <xdr:colOff>71437</xdr:colOff>
      <xdr:row>109</xdr:row>
      <xdr:rowOff>42862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7</xdr:col>
      <xdr:colOff>66674</xdr:colOff>
      <xdr:row>27</xdr:row>
      <xdr:rowOff>28575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41601-0BA7-4C7E-9443-BC3FD6B0A713}">
  <sheetPr codeName="Sheet1"/>
  <dimension ref="C1:N16"/>
  <sheetViews>
    <sheetView tabSelected="1" topLeftCell="C1" workbookViewId="0">
      <selection activeCell="E8" sqref="E8"/>
    </sheetView>
  </sheetViews>
  <sheetFormatPr defaultColWidth="0" defaultRowHeight="16.5" zeroHeight="1" x14ac:dyDescent="0.3"/>
  <cols>
    <col min="1" max="2" width="9.140625" style="27" hidden="1" customWidth="1"/>
    <col min="3" max="14" width="9.140625" style="27" customWidth="1"/>
    <col min="15" max="16384" width="9.140625" style="27" hidden="1"/>
  </cols>
  <sheetData>
    <row r="1" spans="4:4" x14ac:dyDescent="0.3"/>
    <row r="2" spans="4:4" x14ac:dyDescent="0.3"/>
    <row r="3" spans="4:4" x14ac:dyDescent="0.3"/>
    <row r="4" spans="4:4" ht="21" x14ac:dyDescent="0.4">
      <c r="D4" s="28" t="s">
        <v>75</v>
      </c>
    </row>
    <row r="5" spans="4:4" x14ac:dyDescent="0.3">
      <c r="D5" s="27" t="s">
        <v>76</v>
      </c>
    </row>
    <row r="6" spans="4:4" x14ac:dyDescent="0.3">
      <c r="D6" s="27" t="s">
        <v>77</v>
      </c>
    </row>
    <row r="7" spans="4:4" x14ac:dyDescent="0.3"/>
    <row r="8" spans="4:4" x14ac:dyDescent="0.3"/>
    <row r="9" spans="4:4" x14ac:dyDescent="0.3"/>
    <row r="10" spans="4:4" x14ac:dyDescent="0.3"/>
    <row r="11" spans="4:4" x14ac:dyDescent="0.3">
      <c r="D11" s="27" t="s">
        <v>78</v>
      </c>
    </row>
    <row r="12" spans="4:4" x14ac:dyDescent="0.3"/>
    <row r="13" spans="4:4" x14ac:dyDescent="0.3">
      <c r="D13" s="27" t="s">
        <v>74</v>
      </c>
    </row>
    <row r="14" spans="4:4" x14ac:dyDescent="0.3"/>
    <row r="15" spans="4:4" x14ac:dyDescent="0.3"/>
    <row r="16" spans="4:4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B9915-65B4-4D85-AD26-7EF747C52161}">
  <sheetPr codeName="Sheet5"/>
  <dimension ref="A1:AK31"/>
  <sheetViews>
    <sheetView workbookViewId="0">
      <selection activeCell="H7" sqref="H7"/>
    </sheetView>
  </sheetViews>
  <sheetFormatPr defaultRowHeight="15" x14ac:dyDescent="0.25"/>
  <cols>
    <col min="1" max="1" width="9.140625" style="1"/>
    <col min="2" max="2" width="8.5703125" style="1" bestFit="1" customWidth="1"/>
    <col min="3" max="7" width="9.140625" style="1"/>
    <col min="8" max="8" width="15.42578125" style="1" customWidth="1"/>
    <col min="9" max="9" width="8" style="1" customWidth="1"/>
    <col min="10" max="10" width="9.140625" style="1"/>
    <col min="11" max="11" width="12" style="1" bestFit="1" customWidth="1"/>
    <col min="12" max="17" width="12" style="1" customWidth="1"/>
    <col min="18" max="28" width="9.140625" style="1"/>
    <col min="29" max="29" width="10.42578125" style="1" customWidth="1"/>
    <col min="30" max="31" width="9.140625" style="1"/>
    <col min="32" max="32" width="11.28515625" style="1" customWidth="1"/>
    <col min="33" max="33" width="9.140625" style="1"/>
    <col min="34" max="34" width="10" style="1" customWidth="1"/>
    <col min="35" max="35" width="11" style="1" customWidth="1"/>
    <col min="36" max="36" width="15.140625" style="1" customWidth="1"/>
    <col min="37" max="37" width="14.42578125" style="1" customWidth="1"/>
    <col min="38" max="16384" width="9.140625" style="1"/>
  </cols>
  <sheetData>
    <row r="1" spans="1:37" x14ac:dyDescent="0.2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  <c r="AH1" s="1">
        <v>34</v>
      </c>
      <c r="AI1" s="1">
        <v>35</v>
      </c>
      <c r="AJ1" s="1">
        <v>36</v>
      </c>
      <c r="AK1" s="1">
        <v>37</v>
      </c>
    </row>
    <row r="3" spans="1:37" ht="18.75" x14ac:dyDescent="0.25">
      <c r="B3" s="1" t="s">
        <v>0</v>
      </c>
      <c r="C3" s="33" t="s">
        <v>1</v>
      </c>
      <c r="D3" s="33"/>
      <c r="E3" s="34" t="s">
        <v>42</v>
      </c>
      <c r="F3" s="34"/>
      <c r="G3" s="34"/>
    </row>
    <row r="4" spans="1:37" ht="15.75" thickBot="1" x14ac:dyDescent="0.3">
      <c r="B4" s="15" t="s">
        <v>2</v>
      </c>
      <c r="C4" s="19">
        <v>4</v>
      </c>
    </row>
    <row r="5" spans="1:37" ht="15.75" thickBot="1" x14ac:dyDescent="0.3">
      <c r="B5" s="16"/>
      <c r="C5" s="19">
        <v>3</v>
      </c>
    </row>
    <row r="6" spans="1:37" ht="15.75" thickBot="1" x14ac:dyDescent="0.3">
      <c r="I6" s="1">
        <v>0</v>
      </c>
      <c r="J6" s="1">
        <v>1</v>
      </c>
      <c r="K6" s="1">
        <v>2</v>
      </c>
      <c r="L6" s="1">
        <v>3</v>
      </c>
      <c r="M6" s="1">
        <v>4</v>
      </c>
      <c r="N6" s="1">
        <v>5</v>
      </c>
      <c r="O6" s="1">
        <v>6</v>
      </c>
      <c r="P6" s="1">
        <v>7</v>
      </c>
      <c r="Q6" s="1">
        <v>8</v>
      </c>
      <c r="T6" s="1">
        <v>1</v>
      </c>
      <c r="U6" s="1">
        <v>2</v>
      </c>
      <c r="V6" s="1">
        <v>3</v>
      </c>
      <c r="W6" s="1">
        <v>4</v>
      </c>
      <c r="X6" s="1">
        <v>5</v>
      </c>
      <c r="Y6" s="1">
        <v>6</v>
      </c>
      <c r="Z6" s="1">
        <v>7</v>
      </c>
      <c r="AA6" s="1">
        <v>8</v>
      </c>
      <c r="AB6" s="1">
        <v>9</v>
      </c>
      <c r="AC6" s="1">
        <v>10</v>
      </c>
      <c r="AD6" s="1">
        <v>11</v>
      </c>
      <c r="AE6" s="1">
        <v>12</v>
      </c>
      <c r="AF6" s="1">
        <v>13</v>
      </c>
      <c r="AG6" s="1">
        <v>14</v>
      </c>
      <c r="AH6" s="1">
        <v>15</v>
      </c>
      <c r="AI6" s="1">
        <v>16</v>
      </c>
      <c r="AJ6" s="1">
        <v>17</v>
      </c>
      <c r="AK6" s="1">
        <v>18</v>
      </c>
    </row>
    <row r="7" spans="1:37" x14ac:dyDescent="0.25">
      <c r="I7" s="35" t="s">
        <v>5</v>
      </c>
      <c r="J7" s="36"/>
      <c r="K7" s="29"/>
      <c r="L7" s="38" t="s">
        <v>24</v>
      </c>
      <c r="M7" s="39"/>
      <c r="N7" s="40"/>
      <c r="O7" s="38" t="s">
        <v>28</v>
      </c>
      <c r="P7" s="39"/>
      <c r="Q7" s="40"/>
      <c r="T7" s="35" t="s">
        <v>6</v>
      </c>
      <c r="U7" s="36"/>
      <c r="V7" s="36"/>
      <c r="W7" s="36"/>
      <c r="X7" s="36"/>
      <c r="Y7" s="36"/>
      <c r="Z7" s="36"/>
      <c r="AA7" s="37"/>
      <c r="AB7" s="41" t="s">
        <v>34</v>
      </c>
      <c r="AC7" s="31"/>
      <c r="AD7" s="29" t="s">
        <v>35</v>
      </c>
      <c r="AE7" s="30"/>
      <c r="AF7" s="31"/>
      <c r="AG7" s="29" t="s">
        <v>37</v>
      </c>
      <c r="AH7" s="30"/>
      <c r="AI7" s="30"/>
      <c r="AJ7" s="30"/>
      <c r="AK7" s="32"/>
    </row>
    <row r="8" spans="1:37" s="5" customFormat="1" ht="30.75" thickBot="1" x14ac:dyDescent="0.3">
      <c r="C8" s="5">
        <v>5</v>
      </c>
      <c r="H8" s="13"/>
      <c r="I8" s="14">
        <v>4</v>
      </c>
      <c r="J8" s="3" t="s">
        <v>7</v>
      </c>
      <c r="K8" s="6" t="s">
        <v>8</v>
      </c>
      <c r="L8" s="7" t="s">
        <v>25</v>
      </c>
      <c r="M8" s="7" t="s">
        <v>26</v>
      </c>
      <c r="N8" s="7" t="s">
        <v>27</v>
      </c>
      <c r="O8" s="7" t="s">
        <v>29</v>
      </c>
      <c r="P8" s="7" t="s">
        <v>30</v>
      </c>
      <c r="Q8" s="7" t="s">
        <v>31</v>
      </c>
      <c r="S8" s="8"/>
      <c r="T8" s="20">
        <f>C5</f>
        <v>3</v>
      </c>
      <c r="U8" s="3" t="s">
        <v>11</v>
      </c>
      <c r="V8" s="3" t="s">
        <v>22</v>
      </c>
      <c r="W8" s="3" t="s">
        <v>12</v>
      </c>
      <c r="X8" s="3" t="s">
        <v>23</v>
      </c>
      <c r="Y8" s="3" t="s">
        <v>13</v>
      </c>
      <c r="Z8" s="3" t="s">
        <v>14</v>
      </c>
      <c r="AA8" s="10" t="s">
        <v>15</v>
      </c>
      <c r="AB8" s="9" t="s">
        <v>32</v>
      </c>
      <c r="AC8" s="3" t="s">
        <v>33</v>
      </c>
      <c r="AD8" s="3" t="s">
        <v>36</v>
      </c>
      <c r="AE8" s="3" t="s">
        <v>32</v>
      </c>
      <c r="AF8" s="3" t="s">
        <v>33</v>
      </c>
      <c r="AG8" s="3" t="s">
        <v>36</v>
      </c>
      <c r="AH8" s="6" t="s">
        <v>38</v>
      </c>
      <c r="AI8" s="6" t="s">
        <v>39</v>
      </c>
      <c r="AJ8" s="3" t="s">
        <v>40</v>
      </c>
      <c r="AK8" s="3" t="s">
        <v>41</v>
      </c>
    </row>
    <row r="9" spans="1:37" x14ac:dyDescent="0.25">
      <c r="I9" s="18" t="s">
        <v>3</v>
      </c>
      <c r="J9" s="17">
        <v>0</v>
      </c>
      <c r="K9" s="17">
        <v>0</v>
      </c>
      <c r="L9" s="21" t="s">
        <v>59</v>
      </c>
      <c r="M9" s="21" t="s">
        <v>59</v>
      </c>
      <c r="N9" s="21" t="s">
        <v>59</v>
      </c>
      <c r="O9" s="2">
        <v>0</v>
      </c>
      <c r="P9" s="2">
        <v>0</v>
      </c>
      <c r="Q9" s="2">
        <v>0</v>
      </c>
      <c r="T9" s="11" t="s">
        <v>9</v>
      </c>
      <c r="U9" s="11" t="s">
        <v>3</v>
      </c>
      <c r="V9" s="11" t="b">
        <v>1</v>
      </c>
      <c r="W9" s="11" t="s">
        <v>16</v>
      </c>
      <c r="X9" s="11" t="b">
        <v>1</v>
      </c>
      <c r="Y9" s="11">
        <v>30000000</v>
      </c>
      <c r="Z9" s="11">
        <v>10</v>
      </c>
      <c r="AA9" s="11">
        <v>3</v>
      </c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1:37" x14ac:dyDescent="0.25">
      <c r="I10" s="18" t="s">
        <v>4</v>
      </c>
      <c r="J10" s="17">
        <f>60 * 12</f>
        <v>720</v>
      </c>
      <c r="K10" s="17">
        <v>0</v>
      </c>
      <c r="L10" s="21" t="s">
        <v>59</v>
      </c>
      <c r="M10" s="21" t="s">
        <v>59</v>
      </c>
      <c r="N10" s="21" t="s">
        <v>59</v>
      </c>
      <c r="O10" s="2">
        <v>0</v>
      </c>
      <c r="P10" s="2">
        <v>0</v>
      </c>
      <c r="Q10" s="2">
        <v>0</v>
      </c>
      <c r="T10" s="2" t="s">
        <v>10</v>
      </c>
      <c r="U10" s="2" t="s">
        <v>4</v>
      </c>
      <c r="V10" s="11" t="b">
        <v>1</v>
      </c>
      <c r="W10" s="2" t="s">
        <v>16</v>
      </c>
      <c r="X10" s="11" t="b">
        <v>1</v>
      </c>
      <c r="Y10" s="11">
        <v>30000000</v>
      </c>
      <c r="Z10" s="11">
        <v>10</v>
      </c>
      <c r="AA10" s="11">
        <v>3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</row>
    <row r="11" spans="1:37" x14ac:dyDescent="0.25">
      <c r="I11" s="18" t="s">
        <v>16</v>
      </c>
      <c r="J11" s="17">
        <f>30 * 12</f>
        <v>360</v>
      </c>
      <c r="K11" s="17">
        <f>40 * 12</f>
        <v>480</v>
      </c>
      <c r="L11" s="21" t="s">
        <v>60</v>
      </c>
      <c r="M11" s="21" t="s">
        <v>60</v>
      </c>
      <c r="N11" s="21" t="s">
        <v>60</v>
      </c>
      <c r="O11" s="2">
        <v>10000</v>
      </c>
      <c r="P11" s="2">
        <v>10000</v>
      </c>
      <c r="Q11" s="2">
        <v>10000</v>
      </c>
      <c r="T11" s="2" t="s">
        <v>21</v>
      </c>
      <c r="U11" s="2" t="s">
        <v>16</v>
      </c>
      <c r="V11" s="11" t="b">
        <v>0</v>
      </c>
      <c r="W11" s="2" t="s">
        <v>17</v>
      </c>
      <c r="X11" s="11" t="b">
        <v>1</v>
      </c>
      <c r="Y11" s="11">
        <v>30000000</v>
      </c>
      <c r="Z11" s="11">
        <v>10</v>
      </c>
      <c r="AA11" s="11">
        <v>3</v>
      </c>
      <c r="AB11" s="2"/>
      <c r="AC11" s="2"/>
      <c r="AD11" s="2"/>
      <c r="AE11" s="2"/>
      <c r="AF11" s="2"/>
      <c r="AG11" s="2"/>
      <c r="AH11" s="2"/>
      <c r="AI11" s="2"/>
      <c r="AJ11" s="2"/>
      <c r="AK11" s="2"/>
    </row>
    <row r="12" spans="1:37" x14ac:dyDescent="0.25">
      <c r="I12" s="18" t="s">
        <v>17</v>
      </c>
      <c r="J12" s="17">
        <f>30 * 12</f>
        <v>360</v>
      </c>
      <c r="K12" s="17">
        <f>60 * 12</f>
        <v>720</v>
      </c>
      <c r="L12" s="21" t="s">
        <v>59</v>
      </c>
      <c r="M12" s="21" t="s">
        <v>59</v>
      </c>
      <c r="N12" s="21" t="s">
        <v>59</v>
      </c>
      <c r="O12" s="2">
        <v>0</v>
      </c>
      <c r="P12" s="2">
        <v>0</v>
      </c>
      <c r="Q12" s="2">
        <v>0</v>
      </c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</row>
    <row r="13" spans="1:37" x14ac:dyDescent="0.25">
      <c r="I13" s="18" t="s">
        <v>18</v>
      </c>
      <c r="J13" s="2"/>
      <c r="K13" s="2"/>
      <c r="L13" s="2"/>
      <c r="M13" s="2"/>
      <c r="N13" s="2"/>
      <c r="O13" s="2"/>
      <c r="P13" s="2"/>
      <c r="Q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</row>
    <row r="14" spans="1:37" x14ac:dyDescent="0.25">
      <c r="I14" s="12" t="s">
        <v>19</v>
      </c>
      <c r="J14" s="2"/>
      <c r="K14" s="2"/>
      <c r="L14" s="2"/>
      <c r="M14" s="2"/>
      <c r="N14" s="2"/>
      <c r="O14" s="2"/>
      <c r="P14" s="2"/>
      <c r="Q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</row>
    <row r="15" spans="1:37" x14ac:dyDescent="0.25">
      <c r="I15" s="12" t="s">
        <v>20</v>
      </c>
      <c r="J15" s="2"/>
      <c r="K15" s="2"/>
      <c r="L15" s="2"/>
      <c r="M15" s="2"/>
      <c r="N15" s="2"/>
      <c r="O15" s="2"/>
      <c r="P15" s="2"/>
      <c r="Q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</row>
    <row r="16" spans="1:37" x14ac:dyDescent="0.25">
      <c r="I16" s="12" t="s">
        <v>43</v>
      </c>
      <c r="J16" s="2"/>
      <c r="K16" s="2"/>
      <c r="L16" s="2"/>
      <c r="M16" s="2"/>
      <c r="N16" s="2"/>
      <c r="O16" s="2"/>
      <c r="P16" s="2"/>
      <c r="Q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</row>
    <row r="17" spans="9:37" x14ac:dyDescent="0.25">
      <c r="I17" s="12" t="s">
        <v>44</v>
      </c>
      <c r="J17" s="2"/>
      <c r="K17" s="4"/>
      <c r="L17" s="2"/>
      <c r="M17" s="2"/>
      <c r="N17" s="2"/>
      <c r="O17" s="2"/>
      <c r="P17" s="2"/>
      <c r="Q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9:37" x14ac:dyDescent="0.25">
      <c r="I18" s="12" t="s">
        <v>45</v>
      </c>
      <c r="J18" s="2"/>
      <c r="K18" s="4"/>
      <c r="L18" s="2"/>
      <c r="M18" s="2"/>
      <c r="N18" s="2"/>
      <c r="O18" s="2"/>
      <c r="P18" s="2"/>
      <c r="Q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</row>
    <row r="19" spans="9:37" x14ac:dyDescent="0.25">
      <c r="I19" s="12" t="s">
        <v>46</v>
      </c>
      <c r="J19" s="2"/>
      <c r="K19" s="4"/>
      <c r="L19" s="2"/>
      <c r="M19" s="2"/>
      <c r="N19" s="2"/>
      <c r="O19" s="2"/>
      <c r="P19" s="2"/>
      <c r="Q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</row>
    <row r="20" spans="9:37" x14ac:dyDescent="0.25">
      <c r="I20" s="12" t="s">
        <v>47</v>
      </c>
      <c r="J20" s="2"/>
      <c r="K20" s="4"/>
      <c r="L20" s="2"/>
      <c r="M20" s="2"/>
      <c r="N20" s="2"/>
      <c r="O20" s="2"/>
      <c r="P20" s="2"/>
      <c r="Q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</row>
    <row r="21" spans="9:37" x14ac:dyDescent="0.25">
      <c r="I21" s="12" t="s">
        <v>48</v>
      </c>
      <c r="J21" s="2"/>
      <c r="K21" s="4"/>
      <c r="L21" s="2"/>
      <c r="M21" s="2"/>
      <c r="N21" s="2"/>
      <c r="O21" s="2"/>
      <c r="P21" s="2"/>
      <c r="Q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</row>
    <row r="22" spans="9:37" x14ac:dyDescent="0.25">
      <c r="I22" s="12" t="s">
        <v>49</v>
      </c>
      <c r="J22" s="2"/>
      <c r="K22" s="4"/>
      <c r="L22" s="2"/>
      <c r="M22" s="2"/>
      <c r="N22" s="2"/>
      <c r="O22" s="2"/>
      <c r="P22" s="2"/>
      <c r="Q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</row>
    <row r="23" spans="9:37" x14ac:dyDescent="0.25">
      <c r="I23" s="12" t="s">
        <v>50</v>
      </c>
      <c r="J23" s="2"/>
      <c r="K23" s="4"/>
      <c r="L23" s="2"/>
      <c r="M23" s="2"/>
      <c r="N23" s="2"/>
      <c r="O23" s="2"/>
      <c r="P23" s="2"/>
      <c r="Q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</row>
    <row r="24" spans="9:37" x14ac:dyDescent="0.25">
      <c r="I24" s="12" t="s">
        <v>51</v>
      </c>
      <c r="J24" s="2"/>
      <c r="K24" s="4"/>
      <c r="L24" s="2"/>
      <c r="M24" s="2"/>
      <c r="N24" s="2"/>
      <c r="O24" s="2"/>
      <c r="P24" s="2"/>
      <c r="Q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</row>
    <row r="25" spans="9:37" x14ac:dyDescent="0.25">
      <c r="I25" s="12" t="s">
        <v>52</v>
      </c>
      <c r="J25" s="2"/>
      <c r="K25" s="4"/>
      <c r="L25" s="2"/>
      <c r="M25" s="2"/>
      <c r="N25" s="2"/>
      <c r="O25" s="2"/>
      <c r="P25" s="2"/>
      <c r="Q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</row>
    <row r="26" spans="9:37" x14ac:dyDescent="0.25">
      <c r="I26" s="12" t="s">
        <v>53</v>
      </c>
      <c r="J26" s="2"/>
      <c r="K26" s="4"/>
      <c r="L26" s="2"/>
      <c r="M26" s="2"/>
      <c r="N26" s="2"/>
      <c r="O26" s="2"/>
      <c r="P26" s="2"/>
      <c r="Q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</row>
    <row r="27" spans="9:37" x14ac:dyDescent="0.25">
      <c r="I27" s="12" t="s">
        <v>54</v>
      </c>
      <c r="J27" s="2"/>
      <c r="K27" s="4"/>
      <c r="L27" s="2"/>
      <c r="M27" s="2"/>
      <c r="N27" s="2"/>
      <c r="O27" s="2"/>
      <c r="P27" s="2"/>
      <c r="Q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9:37" x14ac:dyDescent="0.25">
      <c r="I28" s="12" t="s">
        <v>55</v>
      </c>
      <c r="J28" s="2"/>
      <c r="K28" s="4"/>
      <c r="L28" s="2"/>
      <c r="M28" s="2"/>
      <c r="N28" s="2"/>
      <c r="O28" s="2"/>
      <c r="P28" s="2"/>
      <c r="Q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9:37" x14ac:dyDescent="0.25">
      <c r="I29" s="12" t="s">
        <v>56</v>
      </c>
      <c r="J29" s="2"/>
      <c r="K29" s="4"/>
      <c r="L29" s="2"/>
      <c r="M29" s="2"/>
      <c r="N29" s="2"/>
      <c r="O29" s="2"/>
      <c r="P29" s="2"/>
      <c r="Q29" s="2"/>
      <c r="T29" s="2"/>
      <c r="U29" s="2"/>
      <c r="V29" s="2"/>
      <c r="W29" s="2"/>
      <c r="X29" s="2"/>
      <c r="Y29" s="2"/>
      <c r="Z29" s="2"/>
      <c r="AA29" s="2"/>
    </row>
    <row r="30" spans="9:37" x14ac:dyDescent="0.25">
      <c r="I30" s="12" t="s">
        <v>57</v>
      </c>
      <c r="J30" s="2"/>
      <c r="K30" s="4"/>
      <c r="L30" s="2"/>
      <c r="M30" s="2"/>
      <c r="N30" s="2"/>
      <c r="O30" s="2"/>
      <c r="P30" s="2"/>
      <c r="Q30" s="2"/>
    </row>
    <row r="31" spans="9:37" x14ac:dyDescent="0.25">
      <c r="I31" s="12" t="s">
        <v>58</v>
      </c>
      <c r="J31" s="2"/>
      <c r="K31" s="4"/>
      <c r="L31" s="2"/>
      <c r="M31" s="2"/>
      <c r="N31" s="2"/>
      <c r="O31" s="2"/>
      <c r="P31" s="2"/>
      <c r="Q31" s="2"/>
    </row>
  </sheetData>
  <mergeCells count="9">
    <mergeCell ref="AD7:AF7"/>
    <mergeCell ref="AG7:AK7"/>
    <mergeCell ref="C3:D3"/>
    <mergeCell ref="E3:G3"/>
    <mergeCell ref="I7:K7"/>
    <mergeCell ref="T7:AA7"/>
    <mergeCell ref="L7:N7"/>
    <mergeCell ref="O7:Q7"/>
    <mergeCell ref="AB7:AC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oject__1">
                <anchor moveWithCells="1" sizeWithCells="1">
                  <from>
                    <xdr:col>7</xdr:col>
                    <xdr:colOff>342900</xdr:colOff>
                    <xdr:row>1</xdr:row>
                    <xdr:rowOff>114300</xdr:rowOff>
                  </from>
                  <to>
                    <xdr:col>8</xdr:col>
                    <xdr:colOff>600075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63C61-4A82-4489-A2D4-F8C7F0AD5456}">
  <sheetPr codeName="Sheet4"/>
  <dimension ref="B1:AA19"/>
  <sheetViews>
    <sheetView workbookViewId="0">
      <selection activeCell="K16" sqref="K16"/>
    </sheetView>
  </sheetViews>
  <sheetFormatPr defaultRowHeight="15" x14ac:dyDescent="0.25"/>
  <cols>
    <col min="1" max="1" width="14" style="22" customWidth="1"/>
    <col min="2" max="9" width="9.140625" style="22"/>
    <col min="10" max="11" width="11.5703125" style="22" bestFit="1" customWidth="1"/>
    <col min="12" max="12" width="12.28515625" style="22" bestFit="1" customWidth="1"/>
    <col min="13" max="15" width="9.140625" style="24"/>
    <col min="16" max="16384" width="9.140625" style="22"/>
  </cols>
  <sheetData>
    <row r="1" spans="2:27" x14ac:dyDescent="0.25">
      <c r="B1" s="22">
        <v>2</v>
      </c>
      <c r="C1" s="22">
        <v>3</v>
      </c>
      <c r="D1" s="22">
        <v>4</v>
      </c>
      <c r="E1" s="22">
        <v>5</v>
      </c>
      <c r="F1" s="22">
        <v>6</v>
      </c>
      <c r="G1" s="22">
        <v>7</v>
      </c>
      <c r="H1" s="22">
        <v>8</v>
      </c>
      <c r="I1" s="22">
        <v>9</v>
      </c>
      <c r="J1" s="22">
        <v>10</v>
      </c>
      <c r="K1" s="22">
        <v>11</v>
      </c>
      <c r="L1" s="22">
        <v>12</v>
      </c>
      <c r="M1" s="24">
        <v>13</v>
      </c>
      <c r="N1" s="24">
        <v>14</v>
      </c>
      <c r="O1" s="24">
        <v>15</v>
      </c>
      <c r="P1" s="22">
        <v>16</v>
      </c>
      <c r="Q1" s="22">
        <v>17</v>
      </c>
      <c r="R1" s="22">
        <v>18</v>
      </c>
      <c r="S1" s="22">
        <v>19</v>
      </c>
      <c r="T1" s="22">
        <v>20</v>
      </c>
      <c r="U1" s="22">
        <v>21</v>
      </c>
      <c r="V1" s="22">
        <v>22</v>
      </c>
      <c r="W1" s="22">
        <v>23</v>
      </c>
      <c r="X1" s="22">
        <v>24</v>
      </c>
      <c r="Y1" s="22">
        <v>25</v>
      </c>
      <c r="Z1" s="22">
        <v>26</v>
      </c>
      <c r="AA1" s="22">
        <v>27</v>
      </c>
    </row>
    <row r="2" spans="2:27" ht="15.75" thickBot="1" x14ac:dyDescent="0.3">
      <c r="J2" s="22">
        <v>1</v>
      </c>
      <c r="K2" s="22">
        <v>2</v>
      </c>
      <c r="L2" s="22">
        <v>3</v>
      </c>
      <c r="M2" s="22">
        <v>4</v>
      </c>
      <c r="N2" s="22">
        <v>5</v>
      </c>
      <c r="O2" s="22">
        <v>6</v>
      </c>
      <c r="P2" s="22">
        <v>7</v>
      </c>
      <c r="Q2" s="22">
        <v>8</v>
      </c>
      <c r="R2" s="22">
        <v>9</v>
      </c>
    </row>
    <row r="3" spans="2:27" x14ac:dyDescent="0.25">
      <c r="I3" s="41" t="s">
        <v>5</v>
      </c>
      <c r="J3" s="30"/>
      <c r="K3" s="30"/>
      <c r="L3" s="32"/>
      <c r="M3" s="42" t="s">
        <v>24</v>
      </c>
      <c r="N3" s="43"/>
      <c r="O3" s="44"/>
      <c r="P3" s="41" t="s">
        <v>28</v>
      </c>
      <c r="Q3" s="30"/>
      <c r="R3" s="32"/>
      <c r="T3" s="35" t="s">
        <v>6</v>
      </c>
      <c r="U3" s="36"/>
      <c r="V3" s="36"/>
      <c r="W3" s="36"/>
      <c r="X3" s="36"/>
      <c r="Y3" s="36"/>
      <c r="Z3" s="36"/>
      <c r="AA3" s="37"/>
    </row>
    <row r="4" spans="2:27" ht="15.75" customHeight="1" thickBot="1" x14ac:dyDescent="0.3">
      <c r="I4" s="14">
        <v>4</v>
      </c>
      <c r="J4" s="3" t="s">
        <v>7</v>
      </c>
      <c r="K4" s="6" t="s">
        <v>8</v>
      </c>
      <c r="L4" s="10" t="s">
        <v>27</v>
      </c>
      <c r="M4" s="20" t="s">
        <v>25</v>
      </c>
      <c r="N4" s="25" t="s">
        <v>26</v>
      </c>
      <c r="O4" s="26" t="s">
        <v>27</v>
      </c>
      <c r="P4" s="9" t="s">
        <v>29</v>
      </c>
      <c r="Q4" s="3" t="s">
        <v>30</v>
      </c>
      <c r="R4" s="10" t="s">
        <v>31</v>
      </c>
      <c r="T4" s="20">
        <f>C1</f>
        <v>3</v>
      </c>
      <c r="U4" s="3" t="s">
        <v>72</v>
      </c>
      <c r="V4" s="3" t="s">
        <v>73</v>
      </c>
      <c r="W4" s="3"/>
      <c r="X4" s="3"/>
      <c r="Y4" s="3"/>
      <c r="Z4" s="3"/>
      <c r="AA4" s="10"/>
    </row>
    <row r="5" spans="2:27" x14ac:dyDescent="0.25">
      <c r="I5" s="18" t="s">
        <v>3</v>
      </c>
      <c r="J5" s="23">
        <v>0</v>
      </c>
      <c r="K5" s="23">
        <v>0</v>
      </c>
      <c r="L5" s="23">
        <v>0</v>
      </c>
      <c r="M5" s="12">
        <v>-6290.6746031746025</v>
      </c>
      <c r="N5" s="12">
        <v>-8387.5661375661366</v>
      </c>
      <c r="O5" s="12">
        <v>0</v>
      </c>
      <c r="P5" s="11"/>
      <c r="Q5" s="11"/>
      <c r="R5" s="11"/>
      <c r="T5" s="11" t="s">
        <v>9</v>
      </c>
      <c r="U5" s="11">
        <v>-10484.457671957671</v>
      </c>
      <c r="V5" s="11">
        <v>-10484.457671957671</v>
      </c>
      <c r="W5" s="11"/>
      <c r="X5" s="11"/>
      <c r="Y5" s="11"/>
      <c r="Z5" s="11"/>
      <c r="AA5" s="11"/>
    </row>
    <row r="6" spans="2:27" x14ac:dyDescent="0.25">
      <c r="I6" s="18" t="s">
        <v>4</v>
      </c>
      <c r="J6" s="23">
        <v>0</v>
      </c>
      <c r="K6" s="23">
        <v>0</v>
      </c>
      <c r="L6" s="23">
        <v>0</v>
      </c>
      <c r="M6" s="17">
        <v>-3750.9920634920618</v>
      </c>
      <c r="N6" s="17">
        <v>5001.3227513227503</v>
      </c>
      <c r="O6" s="17">
        <v>0</v>
      </c>
      <c r="P6" s="2"/>
      <c r="Q6" s="2"/>
      <c r="R6" s="2"/>
      <c r="T6" s="2" t="s">
        <v>10</v>
      </c>
      <c r="U6" s="2">
        <v>6251.6534391534369</v>
      </c>
      <c r="V6" s="2">
        <v>6251.6534391534369</v>
      </c>
      <c r="W6" s="2"/>
      <c r="X6" s="2"/>
      <c r="Y6" s="11"/>
      <c r="Z6" s="11"/>
      <c r="AA6" s="11"/>
    </row>
    <row r="7" spans="2:27" x14ac:dyDescent="0.25">
      <c r="I7" s="18" t="s">
        <v>16</v>
      </c>
      <c r="J7" s="23">
        <v>9.2978395061728378E-2</v>
      </c>
      <c r="K7" s="23">
        <v>1.7636684303350969E-2</v>
      </c>
      <c r="L7" s="23">
        <v>3.054076646090535E-3</v>
      </c>
      <c r="M7" s="17">
        <v>-2.4229507289419416E-12</v>
      </c>
      <c r="N7" s="17">
        <v>0</v>
      </c>
      <c r="O7" s="17">
        <v>0</v>
      </c>
      <c r="P7" s="2"/>
      <c r="Q7" s="2"/>
      <c r="R7" s="2"/>
      <c r="T7" s="2" t="s">
        <v>21</v>
      </c>
      <c r="U7" s="2">
        <v>6613.7566137566137</v>
      </c>
      <c r="V7" s="2">
        <v>6613.7566137566137</v>
      </c>
      <c r="W7" s="2"/>
      <c r="X7" s="2"/>
      <c r="Y7" s="11"/>
      <c r="Z7" s="11"/>
      <c r="AA7" s="11"/>
    </row>
    <row r="8" spans="2:27" x14ac:dyDescent="0.25">
      <c r="I8" s="18" t="s">
        <v>17</v>
      </c>
      <c r="J8" s="23">
        <v>0</v>
      </c>
      <c r="K8" s="23">
        <v>0</v>
      </c>
      <c r="L8" s="23">
        <v>0</v>
      </c>
      <c r="M8" s="17">
        <v>41.666666666666664</v>
      </c>
      <c r="N8" s="17">
        <v>-6613.7566137566137</v>
      </c>
      <c r="O8" s="17">
        <v>0</v>
      </c>
      <c r="P8" s="17"/>
      <c r="Q8" s="17"/>
      <c r="R8" s="17"/>
      <c r="T8" s="2" t="s">
        <v>61</v>
      </c>
      <c r="U8" s="2"/>
      <c r="V8" s="2"/>
      <c r="W8" s="2"/>
      <c r="X8" s="2"/>
      <c r="Y8" s="2"/>
      <c r="Z8" s="2"/>
      <c r="AA8" s="2"/>
    </row>
    <row r="9" spans="2:27" x14ac:dyDescent="0.25">
      <c r="I9" s="18" t="s">
        <v>18</v>
      </c>
      <c r="J9" s="23"/>
      <c r="K9" s="23"/>
      <c r="L9" s="23"/>
      <c r="M9" s="17"/>
      <c r="N9" s="17"/>
      <c r="O9" s="17"/>
      <c r="P9" s="17"/>
      <c r="Q9" s="17"/>
      <c r="R9" s="17"/>
      <c r="T9" s="2" t="s">
        <v>62</v>
      </c>
      <c r="U9" s="2"/>
      <c r="V9" s="2"/>
      <c r="W9" s="2"/>
      <c r="X9" s="2"/>
      <c r="Y9" s="2"/>
      <c r="Z9" s="2"/>
      <c r="AA9" s="2"/>
    </row>
    <row r="10" spans="2:27" x14ac:dyDescent="0.25">
      <c r="I10" s="18" t="s">
        <v>19</v>
      </c>
      <c r="J10" s="23"/>
      <c r="K10" s="23"/>
      <c r="L10" s="23"/>
      <c r="M10" s="17"/>
      <c r="N10" s="17"/>
      <c r="O10" s="17"/>
      <c r="P10" s="17"/>
      <c r="Q10" s="17"/>
      <c r="R10" s="17"/>
      <c r="T10" s="2" t="s">
        <v>63</v>
      </c>
      <c r="U10" s="2"/>
      <c r="V10" s="2"/>
      <c r="W10" s="2"/>
      <c r="X10" s="2"/>
      <c r="Y10" s="2"/>
      <c r="Z10" s="2"/>
      <c r="AA10" s="2"/>
    </row>
    <row r="11" spans="2:27" x14ac:dyDescent="0.25">
      <c r="I11" s="18" t="s">
        <v>20</v>
      </c>
      <c r="J11" s="23"/>
      <c r="K11" s="23"/>
      <c r="L11" s="23"/>
      <c r="M11" s="17"/>
      <c r="N11" s="17"/>
      <c r="O11" s="17"/>
      <c r="P11" s="17"/>
      <c r="Q11" s="17"/>
      <c r="R11" s="17"/>
      <c r="T11" s="2" t="s">
        <v>64</v>
      </c>
      <c r="U11" s="2"/>
      <c r="V11" s="2"/>
      <c r="W11" s="2"/>
      <c r="X11" s="2"/>
      <c r="Y11" s="2"/>
      <c r="Z11" s="2"/>
      <c r="AA11" s="2"/>
    </row>
    <row r="12" spans="2:27" x14ac:dyDescent="0.25">
      <c r="I12" s="18" t="s">
        <v>43</v>
      </c>
      <c r="J12" s="23"/>
      <c r="K12" s="23"/>
      <c r="L12" s="23"/>
      <c r="M12" s="17"/>
      <c r="N12" s="17"/>
      <c r="O12" s="17"/>
      <c r="P12" s="17"/>
      <c r="Q12" s="17"/>
      <c r="R12" s="17"/>
      <c r="T12" s="2" t="s">
        <v>65</v>
      </c>
      <c r="U12" s="2"/>
      <c r="V12" s="2"/>
      <c r="W12" s="2"/>
      <c r="X12" s="2"/>
      <c r="Y12" s="2"/>
      <c r="Z12" s="2"/>
      <c r="AA12" s="2"/>
    </row>
    <row r="13" spans="2:27" x14ac:dyDescent="0.25">
      <c r="I13" s="18" t="s">
        <v>44</v>
      </c>
      <c r="J13" s="23"/>
      <c r="K13" s="23"/>
      <c r="L13" s="23"/>
      <c r="M13" s="17"/>
      <c r="N13" s="17"/>
      <c r="O13" s="17"/>
      <c r="P13" s="17"/>
      <c r="Q13" s="17"/>
      <c r="R13" s="17"/>
      <c r="T13" s="2" t="s">
        <v>66</v>
      </c>
      <c r="U13" s="2"/>
      <c r="V13" s="2"/>
      <c r="W13" s="2"/>
      <c r="X13" s="2"/>
      <c r="Y13" s="2"/>
      <c r="Z13" s="2"/>
      <c r="AA13" s="2"/>
    </row>
    <row r="14" spans="2:27" x14ac:dyDescent="0.25">
      <c r="I14" s="18" t="s">
        <v>45</v>
      </c>
      <c r="J14" s="23"/>
      <c r="K14" s="23"/>
      <c r="L14" s="23"/>
      <c r="M14" s="17"/>
      <c r="N14" s="17"/>
      <c r="O14" s="17"/>
      <c r="P14" s="17"/>
      <c r="Q14" s="17"/>
      <c r="R14" s="17"/>
      <c r="T14" s="2" t="s">
        <v>67</v>
      </c>
      <c r="U14" s="2"/>
      <c r="V14" s="2"/>
      <c r="W14" s="2"/>
      <c r="X14" s="2"/>
      <c r="Y14" s="2"/>
      <c r="Z14" s="2"/>
      <c r="AA14" s="2"/>
    </row>
    <row r="15" spans="2:27" x14ac:dyDescent="0.25">
      <c r="I15" s="18" t="s">
        <v>46</v>
      </c>
      <c r="J15" s="23"/>
      <c r="K15" s="23"/>
      <c r="L15" s="23"/>
      <c r="M15" s="17"/>
      <c r="N15" s="17"/>
      <c r="O15" s="17"/>
      <c r="P15" s="17"/>
      <c r="Q15" s="17"/>
      <c r="R15" s="17"/>
      <c r="T15" s="2" t="s">
        <v>68</v>
      </c>
      <c r="U15" s="2"/>
      <c r="V15" s="2"/>
      <c r="W15" s="2"/>
      <c r="X15" s="2"/>
      <c r="Y15" s="2"/>
      <c r="Z15" s="2"/>
      <c r="AA15" s="2"/>
    </row>
    <row r="16" spans="2:27" x14ac:dyDescent="0.25">
      <c r="I16" s="18" t="s">
        <v>47</v>
      </c>
      <c r="J16" s="23"/>
      <c r="K16" s="23"/>
      <c r="L16" s="23"/>
      <c r="M16" s="17"/>
      <c r="N16" s="17"/>
      <c r="O16" s="17"/>
      <c r="P16" s="17"/>
      <c r="Q16" s="17"/>
      <c r="R16" s="17"/>
      <c r="T16" s="2" t="s">
        <v>69</v>
      </c>
      <c r="U16" s="2"/>
      <c r="V16" s="2"/>
      <c r="W16" s="2"/>
      <c r="X16" s="2"/>
      <c r="Y16" s="2"/>
      <c r="Z16" s="2"/>
      <c r="AA16" s="2"/>
    </row>
    <row r="17" spans="9:27" x14ac:dyDescent="0.25">
      <c r="I17" s="18" t="s">
        <v>48</v>
      </c>
      <c r="J17" s="23"/>
      <c r="K17" s="23"/>
      <c r="L17" s="23"/>
      <c r="M17" s="17"/>
      <c r="N17" s="17"/>
      <c r="O17" s="17"/>
      <c r="P17" s="17"/>
      <c r="Q17" s="17"/>
      <c r="R17" s="17"/>
      <c r="T17" s="2" t="s">
        <v>70</v>
      </c>
      <c r="U17" s="2"/>
      <c r="V17" s="2"/>
      <c r="W17" s="2"/>
      <c r="X17" s="2"/>
      <c r="Y17" s="2"/>
      <c r="Z17" s="2"/>
      <c r="AA17" s="2"/>
    </row>
    <row r="18" spans="9:27" x14ac:dyDescent="0.25">
      <c r="I18" s="18" t="s">
        <v>49</v>
      </c>
      <c r="J18" s="23"/>
      <c r="K18" s="23"/>
      <c r="L18" s="23"/>
      <c r="M18" s="17"/>
      <c r="N18" s="17"/>
      <c r="O18" s="17"/>
      <c r="P18" s="17"/>
      <c r="Q18" s="17"/>
      <c r="R18" s="17"/>
      <c r="T18" s="2" t="s">
        <v>71</v>
      </c>
      <c r="U18" s="2"/>
      <c r="V18" s="2"/>
      <c r="W18" s="2"/>
      <c r="X18" s="2"/>
      <c r="Y18" s="2"/>
      <c r="Z18" s="2"/>
      <c r="AA18" s="2"/>
    </row>
    <row r="19" spans="9:27" x14ac:dyDescent="0.25">
      <c r="I19" s="18" t="s">
        <v>50</v>
      </c>
      <c r="J19" s="23"/>
      <c r="K19" s="23"/>
      <c r="L19" s="23"/>
      <c r="M19" s="17"/>
      <c r="N19" s="17"/>
      <c r="O19" s="17"/>
      <c r="P19" s="17"/>
      <c r="Q19" s="17"/>
      <c r="R19" s="17"/>
      <c r="T19" s="2"/>
      <c r="U19" s="2"/>
      <c r="V19" s="2"/>
      <c r="W19" s="2"/>
      <c r="X19" s="2"/>
      <c r="Y19" s="2"/>
      <c r="Z19" s="2"/>
      <c r="AA19" s="2"/>
    </row>
  </sheetData>
  <mergeCells count="4">
    <mergeCell ref="I3:L3"/>
    <mergeCell ref="M3:O3"/>
    <mergeCell ref="P3:R3"/>
    <mergeCell ref="T3:AA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 Me</vt:lpstr>
      <vt:lpstr>Input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2019-08-11T14:16:59Z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ecimal_places_1" visible="true" label="Decimal_places" imageMso="HappyFace" onAction="Decimal_places"/>
      </mso:documentControls>
    </mso:qat>
  </mso:ribbon>
</mso:customUI>
</file>